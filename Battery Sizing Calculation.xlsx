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Old Backup\D\PROJECTS FY 26-27\Teleperformance\TP -HYD New\"/>
    </mc:Choice>
  </mc:AlternateContent>
  <xr:revisionPtr revIDLastSave="0" documentId="13_ncr:1_{A4C2C0D5-2278-4A19-9395-5A60A3A818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8" i="1" s="1"/>
  <c r="D16" i="1"/>
  <c r="C16" i="1"/>
  <c r="C17" i="1" s="1"/>
  <c r="C18" i="1" s="1"/>
  <c r="D15" i="1"/>
  <c r="C15" i="1"/>
  <c r="D10" i="1"/>
  <c r="D11" i="1" s="1"/>
  <c r="C10" i="1"/>
  <c r="C11" i="1" s="1"/>
  <c r="D4" i="1"/>
  <c r="C4" i="1"/>
</calcChain>
</file>

<file path=xl/sharedStrings.xml><?xml version="1.0" encoding="utf-8"?>
<sst xmlns="http://schemas.openxmlformats.org/spreadsheetml/2006/main" count="29" uniqueCount="20">
  <si>
    <t xml:space="preserve">Battery Sizing calculation </t>
  </si>
  <si>
    <t>Falcon 7KM</t>
  </si>
  <si>
    <t>Falcon X5</t>
  </si>
  <si>
    <t>UPS Rating (KVA)</t>
  </si>
  <si>
    <t xml:space="preserve"> =</t>
  </si>
  <si>
    <t xml:space="preserve">Actual Load on UPS (KVA) </t>
  </si>
  <si>
    <t>Power in KW (VA * Pf)</t>
  </si>
  <si>
    <t>Inverter Efficiency (n)</t>
  </si>
  <si>
    <t>No of Battery</t>
  </si>
  <si>
    <t>Number of battery banks / strings</t>
  </si>
  <si>
    <t>End Cell Voltage (ECV)</t>
  </si>
  <si>
    <t>Back up time required (in mins)</t>
  </si>
  <si>
    <t xml:space="preserve">Watts/Battery Required </t>
  </si>
  <si>
    <t>Watts/Battery Required /String</t>
  </si>
  <si>
    <t>Nearest battery AH Selected referring to the manuacturer chart at C20</t>
  </si>
  <si>
    <t>Watts/Battery provided by the selected battery</t>
  </si>
  <si>
    <t>Nominal voltage of each batteries</t>
  </si>
  <si>
    <t>Number of batteries per UPS</t>
  </si>
  <si>
    <t>Total number of batteries per UPS</t>
  </si>
  <si>
    <t>Total VAH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</si>
</sst>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\K\V\A"/>
    <numFmt numFmtId="165" formatCode="#,##0.0\K\W"/>
    <numFmt numFmtId="166" formatCode="#,##0\ \N\o\s"/>
    <numFmt numFmtId="167" formatCode="#,##0.00\V"/>
    <numFmt numFmtId="168" formatCode="#,##0\ \m\i\n\s"/>
    <numFmt numFmtId="169" formatCode="#,##0.00\W"/>
    <numFmt numFmtId="170" formatCode="#,##0\A\H"/>
    <numFmt numFmtId="171" formatCode="#,##0\W"/>
    <numFmt numFmtId="172" formatCode="#,##0\V"/>
    <numFmt numFmtId="173" formatCode="#,##0\V\A\H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9" fontId="3" fillId="3" borderId="1" xfId="1" applyNumberFormat="1" applyFont="1" applyFill="1" applyBorder="1" applyAlignment="1">
      <alignment horizontal="center" vertical="center"/>
    </xf>
    <xf numFmtId="166" fontId="3" fillId="3" borderId="1" xfId="1" applyNumberFormat="1" applyFont="1" applyFill="1" applyBorder="1" applyAlignment="1">
      <alignment horizontal="center" vertical="center"/>
    </xf>
    <xf numFmtId="167" fontId="3" fillId="3" borderId="1" xfId="1" applyNumberFormat="1" applyFont="1" applyFill="1" applyBorder="1" applyAlignment="1">
      <alignment horizontal="center" vertical="center"/>
    </xf>
    <xf numFmtId="168" fontId="3" fillId="3" borderId="1" xfId="1" applyNumberFormat="1" applyFont="1" applyFill="1" applyBorder="1" applyAlignment="1">
      <alignment horizontal="center" vertical="center"/>
    </xf>
    <xf numFmtId="169" fontId="3" fillId="3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170" fontId="2" fillId="2" borderId="1" xfId="1" applyNumberFormat="1" applyFont="1" applyFill="1" applyBorder="1" applyAlignment="1">
      <alignment horizontal="center" vertical="center" wrapText="1"/>
    </xf>
    <xf numFmtId="171" fontId="3" fillId="3" borderId="1" xfId="1" applyNumberFormat="1" applyFont="1" applyFill="1" applyBorder="1" applyAlignment="1">
      <alignment horizontal="center" vertical="center"/>
    </xf>
    <xf numFmtId="172" fontId="3" fillId="3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173" fontId="4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6D9D0321-D461-45AF-9337-34F267D9B5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G2" sqref="G2"/>
    </sheetView>
  </sheetViews>
  <sheetFormatPr defaultRowHeight="14.5" x14ac:dyDescent="0.35"/>
  <cols>
    <col min="1" max="1" width="45.7265625" bestFit="1" customWidth="1"/>
    <col min="2" max="2" width="2.7265625" bestFit="1" customWidth="1"/>
    <col min="3" max="3" width="11.26953125" bestFit="1" customWidth="1"/>
    <col min="4" max="4" width="10.453125" bestFit="1" customWidth="1"/>
  </cols>
  <sheetData>
    <row r="1" spans="1:4" ht="15.5" x14ac:dyDescent="0.35">
      <c r="A1" s="1" t="s">
        <v>0</v>
      </c>
      <c r="B1" s="1"/>
      <c r="C1" s="2" t="s">
        <v>1</v>
      </c>
      <c r="D1" s="2" t="s">
        <v>2</v>
      </c>
    </row>
    <row r="2" spans="1:4" ht="15.5" x14ac:dyDescent="0.35">
      <c r="A2" s="3" t="s">
        <v>3</v>
      </c>
      <c r="B2" s="2" t="s">
        <v>4</v>
      </c>
      <c r="C2" s="4">
        <v>100</v>
      </c>
      <c r="D2" s="4">
        <v>30</v>
      </c>
    </row>
    <row r="3" spans="1:4" ht="15.5" x14ac:dyDescent="0.35">
      <c r="A3" s="3" t="s">
        <v>5</v>
      </c>
      <c r="B3" s="2" t="s">
        <v>4</v>
      </c>
      <c r="C3" s="4">
        <v>100</v>
      </c>
      <c r="D3" s="4">
        <v>30</v>
      </c>
    </row>
    <row r="4" spans="1:4" ht="15.5" x14ac:dyDescent="0.35">
      <c r="A4" s="3" t="s">
        <v>6</v>
      </c>
      <c r="B4" s="2"/>
      <c r="C4" s="5">
        <f>C3*0.8</f>
        <v>80</v>
      </c>
      <c r="D4" s="5">
        <f>D3*0.8</f>
        <v>24</v>
      </c>
    </row>
    <row r="5" spans="1:4" ht="15.5" x14ac:dyDescent="0.35">
      <c r="A5" s="3" t="s">
        <v>7</v>
      </c>
      <c r="B5" s="2" t="s">
        <v>4</v>
      </c>
      <c r="C5" s="6">
        <v>0.96</v>
      </c>
      <c r="D5" s="6">
        <v>0.95</v>
      </c>
    </row>
    <row r="6" spans="1:4" ht="15.5" x14ac:dyDescent="0.35">
      <c r="A6" s="3" t="s">
        <v>8</v>
      </c>
      <c r="B6" s="2" t="s">
        <v>4</v>
      </c>
      <c r="C6" s="7">
        <v>38</v>
      </c>
      <c r="D6" s="7">
        <v>32</v>
      </c>
    </row>
    <row r="7" spans="1:4" ht="15.5" x14ac:dyDescent="0.35">
      <c r="A7" s="3" t="s">
        <v>9</v>
      </c>
      <c r="B7" s="2" t="s">
        <v>4</v>
      </c>
      <c r="C7" s="7">
        <v>1</v>
      </c>
      <c r="D7" s="7">
        <v>1</v>
      </c>
    </row>
    <row r="8" spans="1:4" ht="15.5" x14ac:dyDescent="0.35">
      <c r="A8" s="3" t="s">
        <v>10</v>
      </c>
      <c r="B8" s="2" t="s">
        <v>4</v>
      </c>
      <c r="C8" s="8">
        <v>1.75</v>
      </c>
      <c r="D8" s="8">
        <v>1.75</v>
      </c>
    </row>
    <row r="9" spans="1:4" ht="15.5" x14ac:dyDescent="0.35">
      <c r="A9" s="3" t="s">
        <v>11</v>
      </c>
      <c r="B9" s="2"/>
      <c r="C9" s="9">
        <v>15</v>
      </c>
      <c r="D9" s="9">
        <v>30</v>
      </c>
    </row>
    <row r="10" spans="1:4" ht="15.5" x14ac:dyDescent="0.35">
      <c r="A10" s="3" t="s">
        <v>12</v>
      </c>
      <c r="B10" s="2"/>
      <c r="C10" s="10">
        <f>(((C4*1000)/C5)/C6)</f>
        <v>2192.9824561403511</v>
      </c>
      <c r="D10" s="10">
        <f>(((D4*1000)/D5)/D6)</f>
        <v>789.47368421052636</v>
      </c>
    </row>
    <row r="11" spans="1:4" ht="15.5" x14ac:dyDescent="0.35">
      <c r="A11" s="3" t="s">
        <v>13</v>
      </c>
      <c r="B11" s="2"/>
      <c r="C11" s="10">
        <f>C10/C7</f>
        <v>2192.9824561403511</v>
      </c>
      <c r="D11" s="10">
        <f>D10/D7</f>
        <v>789.47368421052636</v>
      </c>
    </row>
    <row r="12" spans="1:4" ht="31" x14ac:dyDescent="0.35">
      <c r="A12" s="11" t="s">
        <v>14</v>
      </c>
      <c r="B12" s="12"/>
      <c r="C12" s="13">
        <v>120</v>
      </c>
      <c r="D12" s="13">
        <v>65</v>
      </c>
    </row>
    <row r="13" spans="1:4" ht="15.5" x14ac:dyDescent="0.35">
      <c r="A13" s="3" t="s">
        <v>15</v>
      </c>
      <c r="B13" s="2"/>
      <c r="C13" s="14">
        <v>2255</v>
      </c>
      <c r="D13" s="14">
        <v>798</v>
      </c>
    </row>
    <row r="14" spans="1:4" ht="15.5" x14ac:dyDescent="0.35">
      <c r="A14" s="3" t="s">
        <v>16</v>
      </c>
      <c r="B14" s="2" t="s">
        <v>4</v>
      </c>
      <c r="C14" s="15">
        <v>12</v>
      </c>
      <c r="D14" s="15">
        <v>12</v>
      </c>
    </row>
    <row r="15" spans="1:4" ht="15.5" x14ac:dyDescent="0.35">
      <c r="A15" s="16" t="s">
        <v>17</v>
      </c>
      <c r="B15" s="17" t="s">
        <v>4</v>
      </c>
      <c r="C15" s="18">
        <f t="shared" ref="C15:D16" si="0">C6</f>
        <v>38</v>
      </c>
      <c r="D15" s="18">
        <f t="shared" si="0"/>
        <v>32</v>
      </c>
    </row>
    <row r="16" spans="1:4" ht="15.5" x14ac:dyDescent="0.35">
      <c r="A16" s="16" t="s">
        <v>9</v>
      </c>
      <c r="B16" s="17" t="s">
        <v>4</v>
      </c>
      <c r="C16" s="18">
        <f t="shared" si="0"/>
        <v>1</v>
      </c>
      <c r="D16" s="18">
        <f t="shared" si="0"/>
        <v>1</v>
      </c>
    </row>
    <row r="17" spans="1:4" ht="15.5" x14ac:dyDescent="0.35">
      <c r="A17" s="16" t="s">
        <v>18</v>
      </c>
      <c r="B17" s="17"/>
      <c r="C17" s="18">
        <f>C16*C15</f>
        <v>38</v>
      </c>
      <c r="D17" s="18">
        <f>D16*D15</f>
        <v>32</v>
      </c>
    </row>
    <row r="18" spans="1:4" ht="15.5" x14ac:dyDescent="0.35">
      <c r="A18" s="3" t="s">
        <v>19</v>
      </c>
      <c r="B18" s="2"/>
      <c r="C18" s="19">
        <f>C17*C14*C12</f>
        <v>54720</v>
      </c>
      <c r="D18" s="19">
        <f>D17*D14*D12</f>
        <v>24960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KALAIVANAN R.</dc:creator>
  <cp:lastModifiedBy>Fuji Sales</cp:lastModifiedBy>
  <dcterms:created xsi:type="dcterms:W3CDTF">2015-06-05T18:17:20Z</dcterms:created>
  <dcterms:modified xsi:type="dcterms:W3CDTF">2026-07-25T17:31:42Z</dcterms:modified>
</cp:coreProperties>
</file>